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ce\Desktop\"/>
    </mc:Choice>
  </mc:AlternateContent>
  <xr:revisionPtr revIDLastSave="0" documentId="8_{127B42F7-9D6A-4B11-9B03-EFC466912A22}" xr6:coauthVersionLast="47" xr6:coauthVersionMax="47" xr10:uidLastSave="{00000000-0000-0000-0000-000000000000}"/>
  <bookViews>
    <workbookView xWindow="3160" yWindow="8300" windowWidth="19200" windowHeight="4990" xr2:uid="{00000000-000D-0000-FFFF-FFFF00000000}"/>
  </bookViews>
  <sheets>
    <sheet name="PartList" sheetId="1" r:id="rId1"/>
    <sheet name="SAP_Data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2" l="1"/>
  <c r="D71" i="2"/>
  <c r="C71" i="2"/>
  <c r="B71" i="2"/>
  <c r="A71" i="2"/>
</calcChain>
</file>

<file path=xl/sharedStrings.xml><?xml version="1.0" encoding="utf-8"?>
<sst xmlns="http://schemas.openxmlformats.org/spreadsheetml/2006/main" count="642" uniqueCount="251">
  <si>
    <t>FTA 원산지 확인 대상 Part Number 목록</t>
  </si>
  <si>
    <t>No</t>
  </si>
  <si>
    <t>Part Number</t>
  </si>
  <si>
    <t>Part Name</t>
  </si>
  <si>
    <t>적용 장비</t>
  </si>
  <si>
    <t>비고</t>
  </si>
  <si>
    <t>PA-1001</t>
  </si>
  <si>
    <t>Servo Motor 750W</t>
  </si>
  <si>
    <t>반도체 식각장비</t>
  </si>
  <si>
    <t>PA-1002</t>
  </si>
  <si>
    <t>Ball Bearing 6205</t>
  </si>
  <si>
    <t>우선처리</t>
  </si>
  <si>
    <t>PA-1003</t>
  </si>
  <si>
    <t>O-Ring NBR 50mm</t>
  </si>
  <si>
    <t>PA-1004</t>
  </si>
  <si>
    <t>Power Supply 24V</t>
  </si>
  <si>
    <t>반도체 증착장비</t>
  </si>
  <si>
    <t>재확인 필요</t>
  </si>
  <si>
    <t>PA-1005</t>
  </si>
  <si>
    <t>Linear Guide Rail</t>
  </si>
  <si>
    <t>PA-1006</t>
  </si>
  <si>
    <t>Proximity Sensor</t>
  </si>
  <si>
    <t>PA-1007</t>
  </si>
  <si>
    <t>Pneumatic Cylinder</t>
  </si>
  <si>
    <t>디스플레이 본딩장비</t>
  </si>
  <si>
    <t>신규추가</t>
  </si>
  <si>
    <t>PA-1008</t>
  </si>
  <si>
    <t>Solenoid Valve 5/2</t>
  </si>
  <si>
    <t>PA-1009</t>
  </si>
  <si>
    <t>Timing Belt GT2</t>
  </si>
  <si>
    <t>PA-1010</t>
  </si>
  <si>
    <t>Stepper Motor NEMA23</t>
  </si>
  <si>
    <t>디스플레이 세정장비</t>
  </si>
  <si>
    <t>PA-1011</t>
  </si>
  <si>
    <t>Optical Fiber Sensor</t>
  </si>
  <si>
    <t>PA-1012</t>
  </si>
  <si>
    <t>Encoder 1024ppr</t>
  </si>
  <si>
    <t>PA-1013</t>
  </si>
  <si>
    <t>Cooling Fan 120mm</t>
  </si>
  <si>
    <t>배터리 조립장비</t>
  </si>
  <si>
    <t>PA-1014</t>
  </si>
  <si>
    <t>PLC Module CPU</t>
  </si>
  <si>
    <t>PA-1015</t>
  </si>
  <si>
    <t>HMI Panel 7inch</t>
  </si>
  <si>
    <t>PA-1016</t>
  </si>
  <si>
    <t>Vacuum Pump 50L</t>
  </si>
  <si>
    <t>배터리 검사장비</t>
  </si>
  <si>
    <t>PA-1017</t>
  </si>
  <si>
    <t>Pressure Gauge</t>
  </si>
  <si>
    <t>PA-1018</t>
  </si>
  <si>
    <t>Flow Controller</t>
  </si>
  <si>
    <t>PA-1019</t>
  </si>
  <si>
    <t>AC Motor 1.5kW</t>
  </si>
  <si>
    <t>2차전지 화성장비</t>
  </si>
  <si>
    <t>PA-1020</t>
  </si>
  <si>
    <t>Inverter Drive</t>
  </si>
  <si>
    <t>PA-1021</t>
  </si>
  <si>
    <t>Temperature Sensor</t>
  </si>
  <si>
    <t>PA-1022</t>
  </si>
  <si>
    <t>Relay Module 8CH</t>
  </si>
  <si>
    <t>PA-1023</t>
  </si>
  <si>
    <t>Cable Chain 50x25</t>
  </si>
  <si>
    <t>자동화 이송장비</t>
  </si>
  <si>
    <t>PA-1024</t>
  </si>
  <si>
    <t>Drag Chain Bracket</t>
  </si>
  <si>
    <t>PA-1025</t>
  </si>
  <si>
    <t>Servo Driver 5A</t>
  </si>
  <si>
    <t>PA-1026</t>
  </si>
  <si>
    <t>Laser Sensor 200mm</t>
  </si>
  <si>
    <t>PA-1027</t>
  </si>
  <si>
    <t>Safety Light Curtain</t>
  </si>
  <si>
    <t>로봇 용접장비</t>
  </si>
  <si>
    <t>PA-1028</t>
  </si>
  <si>
    <t>E-Stop Button</t>
  </si>
  <si>
    <t>PA-1029</t>
  </si>
  <si>
    <t>Pneumatic Fitting</t>
  </si>
  <si>
    <t>PA-1030</t>
  </si>
  <si>
    <t>Aluminum Profile 40</t>
  </si>
  <si>
    <t>PA-1031</t>
  </si>
  <si>
    <t>Gripper Finger Set</t>
  </si>
  <si>
    <t>핸들링 로봇</t>
  </si>
  <si>
    <t>PA-1032</t>
  </si>
  <si>
    <t>Force Sensor 200N</t>
  </si>
  <si>
    <t>PA-1033</t>
  </si>
  <si>
    <t>Vision Camera 5MP</t>
  </si>
  <si>
    <t>PA-1034</t>
  </si>
  <si>
    <t>LED Ring Light</t>
  </si>
  <si>
    <t>PA-1035</t>
  </si>
  <si>
    <t>Controller Board</t>
  </si>
  <si>
    <t>PA-1036</t>
  </si>
  <si>
    <t>Signal Tower 3단</t>
  </si>
  <si>
    <t>검사 자동화</t>
  </si>
  <si>
    <t>PA-1037</t>
  </si>
  <si>
    <t>Barcode Reader 1D</t>
  </si>
  <si>
    <t>PA-1038</t>
  </si>
  <si>
    <t>RFID Reader UHF</t>
  </si>
  <si>
    <t>PA-1039</t>
  </si>
  <si>
    <t>Touch Screen 10inch</t>
  </si>
  <si>
    <t>PA-1040</t>
  </si>
  <si>
    <t>Network Switch 8P</t>
  </si>
  <si>
    <t>PA-1041</t>
  </si>
  <si>
    <t>DC Power 12V/10A</t>
  </si>
  <si>
    <t>PCB 조립장비</t>
  </si>
  <si>
    <t>PA-1042</t>
  </si>
  <si>
    <t>Fuse Holder Panel</t>
  </si>
  <si>
    <t>PA-1043</t>
  </si>
  <si>
    <t>Din Rail Mount</t>
  </si>
  <si>
    <t>PA-1044</t>
  </si>
  <si>
    <t>Terminal Block</t>
  </si>
  <si>
    <t>PA-1045</t>
  </si>
  <si>
    <t>Wire Duct 40x60</t>
  </si>
  <si>
    <t>PA-1046</t>
  </si>
  <si>
    <t>Magnetic Sensor</t>
  </si>
  <si>
    <t>CNC 가공장비</t>
  </si>
  <si>
    <t>PA-1047</t>
  </si>
  <si>
    <t>Spindle Motor 2.2kW</t>
  </si>
  <si>
    <t>PA-1048</t>
  </si>
  <si>
    <t>Ball Screw 1605</t>
  </si>
  <si>
    <t>PA-1049</t>
  </si>
  <si>
    <t>Linear Bearing LM16</t>
  </si>
  <si>
    <t>PA-1050</t>
  </si>
  <si>
    <t>Collet Chuck ER32</t>
  </si>
  <si>
    <t>총 대상 Part 수</t>
  </si>
  <si>
    <t>SAP InfoRecord Download - Purchasing Info Record (PIR)</t>
  </si>
  <si>
    <t>Vendor Code</t>
  </si>
  <si>
    <t>Vendor Name</t>
  </si>
  <si>
    <t>Country</t>
  </si>
  <si>
    <t>Tax Code</t>
  </si>
  <si>
    <t>PIR Number</t>
  </si>
  <si>
    <t>V-KR001</t>
  </si>
  <si>
    <t>삼성전기(주)</t>
  </si>
  <si>
    <t>KR</t>
  </si>
  <si>
    <t>V1</t>
  </si>
  <si>
    <t>PIR-KR-5001</t>
  </si>
  <si>
    <t>V-DE002</t>
  </si>
  <si>
    <t>Bosch Rexroth AG</t>
  </si>
  <si>
    <t>DE</t>
  </si>
  <si>
    <t>V5</t>
  </si>
  <si>
    <t>(없음)</t>
  </si>
  <si>
    <t>V-KR006</t>
  </si>
  <si>
    <t>두산로보틱스(주)</t>
  </si>
  <si>
    <t>PIR-KR-5002</t>
  </si>
  <si>
    <t>PIR-KR-5003</t>
  </si>
  <si>
    <t>V-JP002</t>
  </si>
  <si>
    <t>Yaskawa Electric</t>
  </si>
  <si>
    <t>JP</t>
  </si>
  <si>
    <t>PIR-JP-8002</t>
  </si>
  <si>
    <t>PIR-KR-5004</t>
  </si>
  <si>
    <t>V-KR002</t>
  </si>
  <si>
    <t>LS일렉트릭(주)</t>
  </si>
  <si>
    <t>PIR-KR-5005</t>
  </si>
  <si>
    <t>V-KR005</t>
  </si>
  <si>
    <t>한화시스템(주)</t>
  </si>
  <si>
    <t>PIR-KR-5006</t>
  </si>
  <si>
    <t>PIR-KR-5007</t>
  </si>
  <si>
    <t>V-CN002</t>
  </si>
  <si>
    <t>Keyence (China)</t>
  </si>
  <si>
    <t>CN</t>
  </si>
  <si>
    <t>PIR-CN-8003</t>
  </si>
  <si>
    <t>V-KR004</t>
  </si>
  <si>
    <t>LG이노텍(주)</t>
  </si>
  <si>
    <t>PIR-KR-5008</t>
  </si>
  <si>
    <t>V-KR007</t>
  </si>
  <si>
    <t>에스에프에이(주)</t>
  </si>
  <si>
    <t>PIR-KR-5009</t>
  </si>
  <si>
    <t>V-DE001</t>
  </si>
  <si>
    <t>Siemens AG</t>
  </si>
  <si>
    <t>PIR-DE-8004</t>
  </si>
  <si>
    <t>V-KR003</t>
  </si>
  <si>
    <t>현대모비스(주)</t>
  </si>
  <si>
    <t>PIR-KR-5010</t>
  </si>
  <si>
    <t>PIR-KR-5011</t>
  </si>
  <si>
    <t>V-US002</t>
  </si>
  <si>
    <t>Emerson Electric</t>
  </si>
  <si>
    <t>US</t>
  </si>
  <si>
    <t>PIR-KR-5012</t>
  </si>
  <si>
    <t>PIR-KR-5013</t>
  </si>
  <si>
    <t>PIR-KR-5014</t>
  </si>
  <si>
    <t>V-CN001</t>
  </si>
  <si>
    <t>Hikvision</t>
  </si>
  <si>
    <t>PIR-KR-5015</t>
  </si>
  <si>
    <t>PIR-KR-5016</t>
  </si>
  <si>
    <t>V-IT001</t>
  </si>
  <si>
    <t>SMC Italia S.r.l.</t>
  </si>
  <si>
    <t>IT</t>
  </si>
  <si>
    <t>PIR-IT-8007</t>
  </si>
  <si>
    <t>PIR-KR-5017</t>
  </si>
  <si>
    <t>PIR-KR-5018</t>
  </si>
  <si>
    <t>PIR-KR-5019</t>
  </si>
  <si>
    <t>V-TW001</t>
  </si>
  <si>
    <t>Delta Electronics</t>
  </si>
  <si>
    <t>TW</t>
  </si>
  <si>
    <t>PIR-TW-8010</t>
  </si>
  <si>
    <t>PIR-KR-5020</t>
  </si>
  <si>
    <t>PIR-DE-8011</t>
  </si>
  <si>
    <t>PIR-KR-5021</t>
  </si>
  <si>
    <t>PIR-KR-5022</t>
  </si>
  <si>
    <t>PIR-JP-8012</t>
  </si>
  <si>
    <t>PIR-KR-5023</t>
  </si>
  <si>
    <t>PIR-KR-5024</t>
  </si>
  <si>
    <t>PIR-KR-5025</t>
  </si>
  <si>
    <t>PIR-KR-5026</t>
  </si>
  <si>
    <t>PIR-KR-5027</t>
  </si>
  <si>
    <t>PIR-KR-5028</t>
  </si>
  <si>
    <t>V-JP001</t>
  </si>
  <si>
    <t>Mitsubishi Electric</t>
  </si>
  <si>
    <t>PIR-KR-5029</t>
  </si>
  <si>
    <t>PIR-TW-8014</t>
  </si>
  <si>
    <t>PIR-KR-5030</t>
  </si>
  <si>
    <t>PIR-IT-8015</t>
  </si>
  <si>
    <t>PIR-KR-5031</t>
  </si>
  <si>
    <t>PIR-KR-5032</t>
  </si>
  <si>
    <t>PIR-KR-5033</t>
  </si>
  <si>
    <t>PIR-KR-5034</t>
  </si>
  <si>
    <t>PIR-DE-8020</t>
  </si>
  <si>
    <t>PIR-JP-8021</t>
  </si>
  <si>
    <t>PIR-KR-5045</t>
  </si>
  <si>
    <t>PA-2001</t>
  </si>
  <si>
    <t>Gripper Assembly</t>
  </si>
  <si>
    <t>PA-2002</t>
  </si>
  <si>
    <t>IOLink Master</t>
  </si>
  <si>
    <t>PIR-KR-5046</t>
  </si>
  <si>
    <t>PA-2003</t>
  </si>
  <si>
    <t>Safety Relay</t>
  </si>
  <si>
    <t>PIR-DE-8022</t>
  </si>
  <si>
    <t>PA-2004</t>
  </si>
  <si>
    <t>Servo Amplifier</t>
  </si>
  <si>
    <t>PIR-JP-8023</t>
  </si>
  <si>
    <t>PA-2005</t>
  </si>
  <si>
    <t>Pneumatic Actuator</t>
  </si>
  <si>
    <t>PA-2006</t>
  </si>
  <si>
    <t>Ultrasonic Sensor</t>
  </si>
  <si>
    <t>PIR-KR-5047</t>
  </si>
  <si>
    <t>PA-2007</t>
  </si>
  <si>
    <t>Robot Controller</t>
  </si>
  <si>
    <t>PA-2008</t>
  </si>
  <si>
    <t>Conveyor Belt</t>
  </si>
  <si>
    <t>PA-2009</t>
  </si>
  <si>
    <t>Torque Sensor</t>
  </si>
  <si>
    <t>V-US001</t>
  </si>
  <si>
    <t>Parker Hannifin</t>
  </si>
  <si>
    <t>PIR-US-8024</t>
  </si>
  <si>
    <t>PA-2010</t>
  </si>
  <si>
    <t>Label Printer</t>
  </si>
  <si>
    <t>PIR-KR-5048</t>
  </si>
  <si>
    <t>[ 데이터 요약 ]</t>
  </si>
  <si>
    <t>총 레코드 수</t>
  </si>
  <si>
    <t>KR 건수</t>
  </si>
  <si>
    <t>Non-KR 건수</t>
  </si>
  <si>
    <t>PIR 있음</t>
  </si>
  <si>
    <t>PIR 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</si>
</sst>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C00000"/>
      <name val="Arial"/>
    </font>
    <font>
      <b/>
      <sz val="9"/>
      <color rgb="FF1F3864"/>
      <name val="Arial"/>
    </font>
    <font>
      <b/>
      <sz val="9"/>
      <color rgb="FF1F497D"/>
      <name val="Arial"/>
    </font>
    <font>
      <sz val="9"/>
      <color rgb="FF843C0C"/>
      <name val="Arial"/>
    </font>
    <font>
      <i/>
      <sz val="9"/>
      <color rgb="FFA6A6A6"/>
      <name val="Arial"/>
    </font>
    <font>
      <b/>
      <sz val="11"/>
      <color rgb="FF1F3864"/>
      <name val="Arial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0" xfId="0" applyFont="1" applyAlignment="1">
      <alignment horizontal="righ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E53"/>
  <sheetViews>
    <sheetView showGridLines="0" tabSelected="1" workbookViewId="0">
      <pane ySplit="2" topLeftCell="A3" activePane="bottomLeft" state="frozen"/>
      <selection pane="bottomLeft"/>
    </sheetView>
  </sheetViews>
  <sheetFormatPr defaultRowHeight="17" x14ac:dyDescent="0.45"/>
  <cols>
    <col min="1" max="1" width="6" customWidth="1"/>
    <col min="2" max="2" width="18" customWidth="1"/>
    <col min="3" max="3" width="30" customWidth="1"/>
    <col min="4" max="4" width="25" customWidth="1"/>
    <col min="5" max="5" width="20" customWidth="1"/>
  </cols>
  <sheetData>
    <row r="1" spans="1:5" ht="30" customHeight="1" x14ac:dyDescent="0.45">
      <c r="A1" s="19" t="s">
        <v>0</v>
      </c>
      <c r="B1" s="18"/>
      <c r="C1" s="18"/>
      <c r="D1" s="18"/>
      <c r="E1" s="18"/>
    </row>
    <row r="2" spans="1:5" ht="22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8" customHeight="1" x14ac:dyDescent="0.45">
      <c r="A3" s="2">
        <v>1</v>
      </c>
      <c r="B3" s="3" t="s">
        <v>6</v>
      </c>
      <c r="C3" s="3" t="s">
        <v>7</v>
      </c>
      <c r="D3" s="3" t="s">
        <v>8</v>
      </c>
      <c r="E3" s="3"/>
    </row>
    <row r="4" spans="1:5" ht="18" customHeight="1" x14ac:dyDescent="0.45">
      <c r="A4" s="4">
        <v>2</v>
      </c>
      <c r="B4" s="5" t="s">
        <v>9</v>
      </c>
      <c r="C4" s="5" t="s">
        <v>10</v>
      </c>
      <c r="D4" s="5" t="s">
        <v>8</v>
      </c>
      <c r="E4" s="6" t="s">
        <v>11</v>
      </c>
    </row>
    <row r="5" spans="1:5" ht="18" customHeight="1" x14ac:dyDescent="0.45">
      <c r="A5" s="2">
        <v>3</v>
      </c>
      <c r="B5" s="3" t="s">
        <v>12</v>
      </c>
      <c r="C5" s="3" t="s">
        <v>13</v>
      </c>
      <c r="D5" s="3" t="s">
        <v>8</v>
      </c>
      <c r="E5" s="3"/>
    </row>
    <row r="6" spans="1:5" ht="18" customHeight="1" x14ac:dyDescent="0.45">
      <c r="A6" s="4">
        <v>4</v>
      </c>
      <c r="B6" s="5" t="s">
        <v>14</v>
      </c>
      <c r="C6" s="5" t="s">
        <v>15</v>
      </c>
      <c r="D6" s="5" t="s">
        <v>16</v>
      </c>
      <c r="E6" s="7" t="s">
        <v>17</v>
      </c>
    </row>
    <row r="7" spans="1:5" ht="18" customHeight="1" x14ac:dyDescent="0.45">
      <c r="A7" s="2">
        <v>5</v>
      </c>
      <c r="B7" s="3" t="s">
        <v>18</v>
      </c>
      <c r="C7" s="3" t="s">
        <v>19</v>
      </c>
      <c r="D7" s="3" t="s">
        <v>16</v>
      </c>
      <c r="E7" s="3"/>
    </row>
    <row r="8" spans="1:5" ht="18" customHeight="1" x14ac:dyDescent="0.45">
      <c r="A8" s="4">
        <v>6</v>
      </c>
      <c r="B8" s="5" t="s">
        <v>20</v>
      </c>
      <c r="C8" s="5" t="s">
        <v>21</v>
      </c>
      <c r="D8" s="5" t="s">
        <v>16</v>
      </c>
      <c r="E8" s="5"/>
    </row>
    <row r="9" spans="1:5" ht="18" customHeight="1" x14ac:dyDescent="0.45">
      <c r="A9" s="2">
        <v>7</v>
      </c>
      <c r="B9" s="3" t="s">
        <v>22</v>
      </c>
      <c r="C9" s="3" t="s">
        <v>23</v>
      </c>
      <c r="D9" s="3" t="s">
        <v>24</v>
      </c>
      <c r="E9" s="3" t="s">
        <v>25</v>
      </c>
    </row>
    <row r="10" spans="1:5" ht="18" customHeight="1" x14ac:dyDescent="0.45">
      <c r="A10" s="4">
        <v>8</v>
      </c>
      <c r="B10" s="5" t="s">
        <v>26</v>
      </c>
      <c r="C10" s="5" t="s">
        <v>27</v>
      </c>
      <c r="D10" s="5" t="s">
        <v>24</v>
      </c>
      <c r="E10" s="5"/>
    </row>
    <row r="11" spans="1:5" ht="18" customHeight="1" x14ac:dyDescent="0.45">
      <c r="A11" s="2">
        <v>9</v>
      </c>
      <c r="B11" s="3" t="s">
        <v>28</v>
      </c>
      <c r="C11" s="3" t="s">
        <v>29</v>
      </c>
      <c r="D11" s="3" t="s">
        <v>24</v>
      </c>
      <c r="E11" s="3"/>
    </row>
    <row r="12" spans="1:5" ht="18" customHeight="1" x14ac:dyDescent="0.45">
      <c r="A12" s="4">
        <v>10</v>
      </c>
      <c r="B12" s="5" t="s">
        <v>30</v>
      </c>
      <c r="C12" s="5" t="s">
        <v>31</v>
      </c>
      <c r="D12" s="5" t="s">
        <v>32</v>
      </c>
      <c r="E12" s="5"/>
    </row>
    <row r="13" spans="1:5" ht="18" customHeight="1" x14ac:dyDescent="0.45">
      <c r="A13" s="2">
        <v>11</v>
      </c>
      <c r="B13" s="3" t="s">
        <v>33</v>
      </c>
      <c r="C13" s="3" t="s">
        <v>34</v>
      </c>
      <c r="D13" s="3" t="s">
        <v>32</v>
      </c>
      <c r="E13" s="3"/>
    </row>
    <row r="14" spans="1:5" ht="18" customHeight="1" x14ac:dyDescent="0.45">
      <c r="A14" s="4">
        <v>12</v>
      </c>
      <c r="B14" s="5" t="s">
        <v>35</v>
      </c>
      <c r="C14" s="5" t="s">
        <v>36</v>
      </c>
      <c r="D14" s="5" t="s">
        <v>32</v>
      </c>
      <c r="E14" s="6" t="s">
        <v>11</v>
      </c>
    </row>
    <row r="15" spans="1:5" ht="18" customHeight="1" x14ac:dyDescent="0.45">
      <c r="A15" s="2">
        <v>13</v>
      </c>
      <c r="B15" s="3" t="s">
        <v>37</v>
      </c>
      <c r="C15" s="3" t="s">
        <v>38</v>
      </c>
      <c r="D15" s="3" t="s">
        <v>39</v>
      </c>
      <c r="E15" s="3"/>
    </row>
    <row r="16" spans="1:5" ht="18" customHeight="1" x14ac:dyDescent="0.45">
      <c r="A16" s="4">
        <v>14</v>
      </c>
      <c r="B16" s="5" t="s">
        <v>40</v>
      </c>
      <c r="C16" s="5" t="s">
        <v>41</v>
      </c>
      <c r="D16" s="5" t="s">
        <v>39</v>
      </c>
      <c r="E16" s="7" t="s">
        <v>17</v>
      </c>
    </row>
    <row r="17" spans="1:5" ht="18" customHeight="1" x14ac:dyDescent="0.45">
      <c r="A17" s="2">
        <v>15</v>
      </c>
      <c r="B17" s="3" t="s">
        <v>42</v>
      </c>
      <c r="C17" s="3" t="s">
        <v>43</v>
      </c>
      <c r="D17" s="3" t="s">
        <v>39</v>
      </c>
      <c r="E17" s="3"/>
    </row>
    <row r="18" spans="1:5" ht="18" customHeight="1" x14ac:dyDescent="0.45">
      <c r="A18" s="4">
        <v>16</v>
      </c>
      <c r="B18" s="5" t="s">
        <v>44</v>
      </c>
      <c r="C18" s="5" t="s">
        <v>45</v>
      </c>
      <c r="D18" s="5" t="s">
        <v>46</v>
      </c>
      <c r="E18" s="5"/>
    </row>
    <row r="19" spans="1:5" ht="18" customHeight="1" x14ac:dyDescent="0.45">
      <c r="A19" s="2">
        <v>17</v>
      </c>
      <c r="B19" s="3" t="s">
        <v>47</v>
      </c>
      <c r="C19" s="3" t="s">
        <v>48</v>
      </c>
      <c r="D19" s="3" t="s">
        <v>46</v>
      </c>
      <c r="E19" s="3" t="s">
        <v>25</v>
      </c>
    </row>
    <row r="20" spans="1:5" ht="18" customHeight="1" x14ac:dyDescent="0.45">
      <c r="A20" s="4">
        <v>18</v>
      </c>
      <c r="B20" s="5" t="s">
        <v>49</v>
      </c>
      <c r="C20" s="5" t="s">
        <v>50</v>
      </c>
      <c r="D20" s="5" t="s">
        <v>46</v>
      </c>
      <c r="E20" s="5"/>
    </row>
    <row r="21" spans="1:5" ht="18" customHeight="1" x14ac:dyDescent="0.45">
      <c r="A21" s="2">
        <v>19</v>
      </c>
      <c r="B21" s="3" t="s">
        <v>51</v>
      </c>
      <c r="C21" s="3" t="s">
        <v>52</v>
      </c>
      <c r="D21" s="3" t="s">
        <v>53</v>
      </c>
      <c r="E21" s="3"/>
    </row>
    <row r="22" spans="1:5" ht="18" customHeight="1" x14ac:dyDescent="0.45">
      <c r="A22" s="4">
        <v>20</v>
      </c>
      <c r="B22" s="5" t="s">
        <v>54</v>
      </c>
      <c r="C22" s="5" t="s">
        <v>55</v>
      </c>
      <c r="D22" s="5" t="s">
        <v>53</v>
      </c>
      <c r="E22" s="5"/>
    </row>
    <row r="23" spans="1:5" ht="18" customHeight="1" x14ac:dyDescent="0.45">
      <c r="A23" s="2">
        <v>21</v>
      </c>
      <c r="B23" s="3" t="s">
        <v>56</v>
      </c>
      <c r="C23" s="3" t="s">
        <v>57</v>
      </c>
      <c r="D23" s="3" t="s">
        <v>53</v>
      </c>
      <c r="E23" s="3"/>
    </row>
    <row r="24" spans="1:5" ht="18" customHeight="1" x14ac:dyDescent="0.45">
      <c r="A24" s="4">
        <v>22</v>
      </c>
      <c r="B24" s="5" t="s">
        <v>58</v>
      </c>
      <c r="C24" s="5" t="s">
        <v>59</v>
      </c>
      <c r="D24" s="5" t="s">
        <v>53</v>
      </c>
      <c r="E24" s="6" t="s">
        <v>11</v>
      </c>
    </row>
    <row r="25" spans="1:5" ht="18" customHeight="1" x14ac:dyDescent="0.45">
      <c r="A25" s="2">
        <v>23</v>
      </c>
      <c r="B25" s="3" t="s">
        <v>60</v>
      </c>
      <c r="C25" s="3" t="s">
        <v>61</v>
      </c>
      <c r="D25" s="3" t="s">
        <v>62</v>
      </c>
      <c r="E25" s="3"/>
    </row>
    <row r="26" spans="1:5" ht="18" customHeight="1" x14ac:dyDescent="0.45">
      <c r="A26" s="4">
        <v>24</v>
      </c>
      <c r="B26" s="5" t="s">
        <v>63</v>
      </c>
      <c r="C26" s="5" t="s">
        <v>64</v>
      </c>
      <c r="D26" s="5" t="s">
        <v>62</v>
      </c>
      <c r="E26" s="7" t="s">
        <v>17</v>
      </c>
    </row>
    <row r="27" spans="1:5" ht="18" customHeight="1" x14ac:dyDescent="0.45">
      <c r="A27" s="2">
        <v>25</v>
      </c>
      <c r="B27" s="3" t="s">
        <v>65</v>
      </c>
      <c r="C27" s="3" t="s">
        <v>66</v>
      </c>
      <c r="D27" s="3" t="s">
        <v>62</v>
      </c>
      <c r="E27" s="3"/>
    </row>
    <row r="28" spans="1:5" ht="18" customHeight="1" x14ac:dyDescent="0.45">
      <c r="A28" s="4">
        <v>26</v>
      </c>
      <c r="B28" s="5" t="s">
        <v>67</v>
      </c>
      <c r="C28" s="5" t="s">
        <v>68</v>
      </c>
      <c r="D28" s="5" t="s">
        <v>62</v>
      </c>
      <c r="E28" s="5"/>
    </row>
    <row r="29" spans="1:5" ht="18" customHeight="1" x14ac:dyDescent="0.45">
      <c r="A29" s="2">
        <v>27</v>
      </c>
      <c r="B29" s="3" t="s">
        <v>69</v>
      </c>
      <c r="C29" s="3" t="s">
        <v>70</v>
      </c>
      <c r="D29" s="3" t="s">
        <v>71</v>
      </c>
      <c r="E29" s="3" t="s">
        <v>25</v>
      </c>
    </row>
    <row r="30" spans="1:5" ht="18" customHeight="1" x14ac:dyDescent="0.45">
      <c r="A30" s="4">
        <v>28</v>
      </c>
      <c r="B30" s="5" t="s">
        <v>72</v>
      </c>
      <c r="C30" s="5" t="s">
        <v>73</v>
      </c>
      <c r="D30" s="5" t="s">
        <v>71</v>
      </c>
      <c r="E30" s="5"/>
    </row>
    <row r="31" spans="1:5" ht="18" customHeight="1" x14ac:dyDescent="0.45">
      <c r="A31" s="2">
        <v>29</v>
      </c>
      <c r="B31" s="3" t="s">
        <v>74</v>
      </c>
      <c r="C31" s="3" t="s">
        <v>75</v>
      </c>
      <c r="D31" s="3" t="s">
        <v>71</v>
      </c>
      <c r="E31" s="3"/>
    </row>
    <row r="32" spans="1:5" ht="18" customHeight="1" x14ac:dyDescent="0.45">
      <c r="A32" s="4">
        <v>30</v>
      </c>
      <c r="B32" s="5" t="s">
        <v>76</v>
      </c>
      <c r="C32" s="5" t="s">
        <v>77</v>
      </c>
      <c r="D32" s="5" t="s">
        <v>71</v>
      </c>
      <c r="E32" s="5"/>
    </row>
    <row r="33" spans="1:5" ht="18" customHeight="1" x14ac:dyDescent="0.45">
      <c r="A33" s="2">
        <v>31</v>
      </c>
      <c r="B33" s="3" t="s">
        <v>78</v>
      </c>
      <c r="C33" s="3" t="s">
        <v>79</v>
      </c>
      <c r="D33" s="3" t="s">
        <v>80</v>
      </c>
      <c r="E33" s="3"/>
    </row>
    <row r="34" spans="1:5" ht="18" customHeight="1" x14ac:dyDescent="0.45">
      <c r="A34" s="4">
        <v>32</v>
      </c>
      <c r="B34" s="5" t="s">
        <v>81</v>
      </c>
      <c r="C34" s="5" t="s">
        <v>82</v>
      </c>
      <c r="D34" s="5" t="s">
        <v>80</v>
      </c>
      <c r="E34" s="6" t="s">
        <v>11</v>
      </c>
    </row>
    <row r="35" spans="1:5" ht="18" customHeight="1" x14ac:dyDescent="0.45">
      <c r="A35" s="2">
        <v>33</v>
      </c>
      <c r="B35" s="3" t="s">
        <v>83</v>
      </c>
      <c r="C35" s="3" t="s">
        <v>84</v>
      </c>
      <c r="D35" s="3" t="s">
        <v>80</v>
      </c>
      <c r="E35" s="3"/>
    </row>
    <row r="36" spans="1:5" ht="18" customHeight="1" x14ac:dyDescent="0.45">
      <c r="A36" s="4">
        <v>34</v>
      </c>
      <c r="B36" s="5" t="s">
        <v>85</v>
      </c>
      <c r="C36" s="5" t="s">
        <v>86</v>
      </c>
      <c r="D36" s="5" t="s">
        <v>80</v>
      </c>
      <c r="E36" s="7" t="s">
        <v>17</v>
      </c>
    </row>
    <row r="37" spans="1:5" ht="18" customHeight="1" x14ac:dyDescent="0.45">
      <c r="A37" s="2">
        <v>35</v>
      </c>
      <c r="B37" s="3" t="s">
        <v>87</v>
      </c>
      <c r="C37" s="3" t="s">
        <v>88</v>
      </c>
      <c r="D37" s="3" t="s">
        <v>80</v>
      </c>
      <c r="E37" s="3"/>
    </row>
    <row r="38" spans="1:5" ht="18" customHeight="1" x14ac:dyDescent="0.45">
      <c r="A38" s="4">
        <v>36</v>
      </c>
      <c r="B38" s="5" t="s">
        <v>89</v>
      </c>
      <c r="C38" s="5" t="s">
        <v>90</v>
      </c>
      <c r="D38" s="5" t="s">
        <v>91</v>
      </c>
      <c r="E38" s="5"/>
    </row>
    <row r="39" spans="1:5" ht="18" customHeight="1" x14ac:dyDescent="0.45">
      <c r="A39" s="2">
        <v>37</v>
      </c>
      <c r="B39" s="3" t="s">
        <v>92</v>
      </c>
      <c r="C39" s="3" t="s">
        <v>93</v>
      </c>
      <c r="D39" s="3" t="s">
        <v>91</v>
      </c>
      <c r="E39" s="3" t="s">
        <v>25</v>
      </c>
    </row>
    <row r="40" spans="1:5" ht="18" customHeight="1" x14ac:dyDescent="0.45">
      <c r="A40" s="4">
        <v>38</v>
      </c>
      <c r="B40" s="5" t="s">
        <v>94</v>
      </c>
      <c r="C40" s="5" t="s">
        <v>95</v>
      </c>
      <c r="D40" s="5" t="s">
        <v>91</v>
      </c>
      <c r="E40" s="5"/>
    </row>
    <row r="41" spans="1:5" ht="18" customHeight="1" x14ac:dyDescent="0.45">
      <c r="A41" s="2">
        <v>39</v>
      </c>
      <c r="B41" s="3" t="s">
        <v>96</v>
      </c>
      <c r="C41" s="3" t="s">
        <v>97</v>
      </c>
      <c r="D41" s="3" t="s">
        <v>91</v>
      </c>
      <c r="E41" s="3"/>
    </row>
    <row r="42" spans="1:5" ht="18" customHeight="1" x14ac:dyDescent="0.45">
      <c r="A42" s="4">
        <v>40</v>
      </c>
      <c r="B42" s="5" t="s">
        <v>98</v>
      </c>
      <c r="C42" s="5" t="s">
        <v>99</v>
      </c>
      <c r="D42" s="5" t="s">
        <v>91</v>
      </c>
      <c r="E42" s="5"/>
    </row>
    <row r="43" spans="1:5" ht="18" customHeight="1" x14ac:dyDescent="0.45">
      <c r="A43" s="2">
        <v>41</v>
      </c>
      <c r="B43" s="3" t="s">
        <v>100</v>
      </c>
      <c r="C43" s="3" t="s">
        <v>101</v>
      </c>
      <c r="D43" s="3" t="s">
        <v>102</v>
      </c>
      <c r="E43" s="3"/>
    </row>
    <row r="44" spans="1:5" ht="18" customHeight="1" x14ac:dyDescent="0.45">
      <c r="A44" s="4">
        <v>42</v>
      </c>
      <c r="B44" s="5" t="s">
        <v>103</v>
      </c>
      <c r="C44" s="5" t="s">
        <v>104</v>
      </c>
      <c r="D44" s="5" t="s">
        <v>102</v>
      </c>
      <c r="E44" s="6" t="s">
        <v>11</v>
      </c>
    </row>
    <row r="45" spans="1:5" ht="18" customHeight="1" x14ac:dyDescent="0.45">
      <c r="A45" s="2">
        <v>43</v>
      </c>
      <c r="B45" s="3" t="s">
        <v>105</v>
      </c>
      <c r="C45" s="3" t="s">
        <v>106</v>
      </c>
      <c r="D45" s="3" t="s">
        <v>102</v>
      </c>
      <c r="E45" s="3"/>
    </row>
    <row r="46" spans="1:5" ht="18" customHeight="1" x14ac:dyDescent="0.45">
      <c r="A46" s="4">
        <v>44</v>
      </c>
      <c r="B46" s="5" t="s">
        <v>107</v>
      </c>
      <c r="C46" s="5" t="s">
        <v>108</v>
      </c>
      <c r="D46" s="5" t="s">
        <v>102</v>
      </c>
      <c r="E46" s="7" t="s">
        <v>17</v>
      </c>
    </row>
    <row r="47" spans="1:5" ht="18" customHeight="1" x14ac:dyDescent="0.45">
      <c r="A47" s="2">
        <v>45</v>
      </c>
      <c r="B47" s="3" t="s">
        <v>109</v>
      </c>
      <c r="C47" s="3" t="s">
        <v>110</v>
      </c>
      <c r="D47" s="3" t="s">
        <v>102</v>
      </c>
      <c r="E47" s="3"/>
    </row>
    <row r="48" spans="1:5" ht="18" customHeight="1" x14ac:dyDescent="0.45">
      <c r="A48" s="4">
        <v>46</v>
      </c>
      <c r="B48" s="5" t="s">
        <v>111</v>
      </c>
      <c r="C48" s="5" t="s">
        <v>112</v>
      </c>
      <c r="D48" s="5" t="s">
        <v>113</v>
      </c>
      <c r="E48" s="5"/>
    </row>
    <row r="49" spans="1:5" ht="18" customHeight="1" x14ac:dyDescent="0.45">
      <c r="A49" s="2">
        <v>47</v>
      </c>
      <c r="B49" s="3" t="s">
        <v>114</v>
      </c>
      <c r="C49" s="3" t="s">
        <v>115</v>
      </c>
      <c r="D49" s="3" t="s">
        <v>113</v>
      </c>
      <c r="E49" s="3" t="s">
        <v>25</v>
      </c>
    </row>
    <row r="50" spans="1:5" ht="18" customHeight="1" x14ac:dyDescent="0.45">
      <c r="A50" s="4">
        <v>48</v>
      </c>
      <c r="B50" s="5" t="s">
        <v>116</v>
      </c>
      <c r="C50" s="5" t="s">
        <v>117</v>
      </c>
      <c r="D50" s="5" t="s">
        <v>113</v>
      </c>
      <c r="E50" s="5"/>
    </row>
    <row r="51" spans="1:5" ht="18" customHeight="1" x14ac:dyDescent="0.45">
      <c r="A51" s="2">
        <v>49</v>
      </c>
      <c r="B51" s="3" t="s">
        <v>118</v>
      </c>
      <c r="C51" s="3" t="s">
        <v>119</v>
      </c>
      <c r="D51" s="3" t="s">
        <v>113</v>
      </c>
      <c r="E51" s="3"/>
    </row>
    <row r="52" spans="1:5" ht="18" customHeight="1" x14ac:dyDescent="0.45">
      <c r="A52" s="4">
        <v>50</v>
      </c>
      <c r="B52" s="5" t="s">
        <v>120</v>
      </c>
      <c r="C52" s="5" t="s">
        <v>121</v>
      </c>
      <c r="D52" s="5" t="s">
        <v>113</v>
      </c>
      <c r="E52" s="5"/>
    </row>
    <row r="53" spans="1:5" x14ac:dyDescent="0.45">
      <c r="A53" s="17" t="s">
        <v>122</v>
      </c>
      <c r="B53" s="18"/>
      <c r="C53" s="18"/>
      <c r="D53" s="18"/>
      <c r="E53" s="8"/>
    </row>
  </sheetData>
  <mergeCells count="2">
    <mergeCell ref="A53:D53"/>
    <mergeCell ref="A1:E1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H71"/>
  <sheetViews>
    <sheetView showGridLines="0" workbookViewId="0">
      <pane ySplit="2" topLeftCell="A3" activePane="bottomLeft" state="frozen"/>
      <selection pane="bottomLeft"/>
    </sheetView>
  </sheetViews>
  <sheetFormatPr defaultRowHeight="17" x14ac:dyDescent="0.45"/>
  <cols>
    <col min="1" max="1" width="6" customWidth="1"/>
    <col min="2" max="2" width="18" customWidth="1"/>
    <col min="3" max="3" width="30" customWidth="1"/>
    <col min="4" max="4" width="14" customWidth="1"/>
    <col min="5" max="5" width="30" customWidth="1"/>
    <col min="6" max="6" width="10" customWidth="1"/>
    <col min="7" max="7" width="12" customWidth="1"/>
    <col min="8" max="8" width="18" customWidth="1"/>
  </cols>
  <sheetData>
    <row r="1" spans="1:8" ht="30" customHeight="1" x14ac:dyDescent="0.45">
      <c r="A1" s="19" t="s">
        <v>123</v>
      </c>
      <c r="B1" s="18"/>
      <c r="C1" s="18"/>
      <c r="D1" s="18"/>
      <c r="E1" s="18"/>
      <c r="F1" s="18"/>
      <c r="G1" s="18"/>
      <c r="H1" s="18"/>
    </row>
    <row r="2" spans="1:8" ht="22" customHeight="1" x14ac:dyDescent="0.45">
      <c r="A2" s="1" t="s">
        <v>1</v>
      </c>
      <c r="B2" s="1" t="s">
        <v>2</v>
      </c>
      <c r="C2" s="1" t="s">
        <v>3</v>
      </c>
      <c r="D2" s="1" t="s">
        <v>124</v>
      </c>
      <c r="E2" s="1" t="s">
        <v>125</v>
      </c>
      <c r="F2" s="1" t="s">
        <v>126</v>
      </c>
      <c r="G2" s="1" t="s">
        <v>127</v>
      </c>
      <c r="H2" s="1" t="s">
        <v>128</v>
      </c>
    </row>
    <row r="3" spans="1:8" ht="18" customHeight="1" x14ac:dyDescent="0.45">
      <c r="A3" s="2">
        <v>1</v>
      </c>
      <c r="B3" s="3" t="s">
        <v>6</v>
      </c>
      <c r="C3" s="3" t="s">
        <v>7</v>
      </c>
      <c r="D3" s="3" t="s">
        <v>129</v>
      </c>
      <c r="E3" s="3" t="s">
        <v>130</v>
      </c>
      <c r="F3" s="9" t="s">
        <v>131</v>
      </c>
      <c r="G3" s="2" t="s">
        <v>132</v>
      </c>
      <c r="H3" s="3" t="s">
        <v>133</v>
      </c>
    </row>
    <row r="4" spans="1:8" ht="18" customHeight="1" x14ac:dyDescent="0.45">
      <c r="A4" s="4">
        <v>2</v>
      </c>
      <c r="B4" s="5" t="s">
        <v>9</v>
      </c>
      <c r="C4" s="5" t="s">
        <v>10</v>
      </c>
      <c r="D4" s="5" t="s">
        <v>134</v>
      </c>
      <c r="E4" s="5" t="s">
        <v>135</v>
      </c>
      <c r="F4" s="10" t="s">
        <v>136</v>
      </c>
      <c r="G4" s="4" t="s">
        <v>137</v>
      </c>
      <c r="H4" s="11" t="s">
        <v>138</v>
      </c>
    </row>
    <row r="5" spans="1:8" ht="18" customHeight="1" x14ac:dyDescent="0.45">
      <c r="A5" s="2">
        <v>3</v>
      </c>
      <c r="B5" s="3" t="s">
        <v>12</v>
      </c>
      <c r="C5" s="3" t="s">
        <v>13</v>
      </c>
      <c r="D5" s="3" t="s">
        <v>139</v>
      </c>
      <c r="E5" s="3" t="s">
        <v>140</v>
      </c>
      <c r="F5" s="9" t="s">
        <v>131</v>
      </c>
      <c r="G5" s="2" t="s">
        <v>132</v>
      </c>
      <c r="H5" s="3" t="s">
        <v>141</v>
      </c>
    </row>
    <row r="6" spans="1:8" ht="18" customHeight="1" x14ac:dyDescent="0.45">
      <c r="A6" s="4">
        <v>4</v>
      </c>
      <c r="B6" s="5" t="s">
        <v>14</v>
      </c>
      <c r="C6" s="5" t="s">
        <v>15</v>
      </c>
      <c r="D6" s="5" t="s">
        <v>139</v>
      </c>
      <c r="E6" s="5" t="s">
        <v>140</v>
      </c>
      <c r="F6" s="12" t="s">
        <v>131</v>
      </c>
      <c r="G6" s="4" t="s">
        <v>132</v>
      </c>
      <c r="H6" s="5" t="s">
        <v>142</v>
      </c>
    </row>
    <row r="7" spans="1:8" ht="18" customHeight="1" x14ac:dyDescent="0.45">
      <c r="A7" s="2">
        <v>5</v>
      </c>
      <c r="B7" s="3" t="s">
        <v>18</v>
      </c>
      <c r="C7" s="3" t="s">
        <v>19</v>
      </c>
      <c r="D7" s="3" t="s">
        <v>143</v>
      </c>
      <c r="E7" s="3" t="s">
        <v>144</v>
      </c>
      <c r="F7" s="13" t="s">
        <v>145</v>
      </c>
      <c r="G7" s="2" t="s">
        <v>137</v>
      </c>
      <c r="H7" s="3" t="s">
        <v>146</v>
      </c>
    </row>
    <row r="8" spans="1:8" ht="18" customHeight="1" x14ac:dyDescent="0.45">
      <c r="A8" s="4">
        <v>6</v>
      </c>
      <c r="B8" s="5" t="s">
        <v>20</v>
      </c>
      <c r="C8" s="5" t="s">
        <v>21</v>
      </c>
      <c r="D8" s="5" t="s">
        <v>129</v>
      </c>
      <c r="E8" s="5" t="s">
        <v>130</v>
      </c>
      <c r="F8" s="12" t="s">
        <v>131</v>
      </c>
      <c r="G8" s="4" t="s">
        <v>132</v>
      </c>
      <c r="H8" s="5" t="s">
        <v>147</v>
      </c>
    </row>
    <row r="9" spans="1:8" ht="18" customHeight="1" x14ac:dyDescent="0.45">
      <c r="A9" s="2">
        <v>7</v>
      </c>
      <c r="B9" s="3" t="s">
        <v>22</v>
      </c>
      <c r="C9" s="3" t="s">
        <v>23</v>
      </c>
      <c r="D9" s="3" t="s">
        <v>148</v>
      </c>
      <c r="E9" s="3" t="s">
        <v>149</v>
      </c>
      <c r="F9" s="9" t="s">
        <v>131</v>
      </c>
      <c r="G9" s="2" t="s">
        <v>132</v>
      </c>
      <c r="H9" s="3" t="s">
        <v>150</v>
      </c>
    </row>
    <row r="10" spans="1:8" ht="18" customHeight="1" x14ac:dyDescent="0.45">
      <c r="A10" s="4">
        <v>8</v>
      </c>
      <c r="B10" s="5" t="s">
        <v>26</v>
      </c>
      <c r="C10" s="5" t="s">
        <v>27</v>
      </c>
      <c r="D10" s="5" t="s">
        <v>151</v>
      </c>
      <c r="E10" s="5" t="s">
        <v>152</v>
      </c>
      <c r="F10" s="12" t="s">
        <v>131</v>
      </c>
      <c r="G10" s="4" t="s">
        <v>132</v>
      </c>
      <c r="H10" s="5" t="s">
        <v>153</v>
      </c>
    </row>
    <row r="11" spans="1:8" ht="18" customHeight="1" x14ac:dyDescent="0.45">
      <c r="A11" s="2">
        <v>9</v>
      </c>
      <c r="B11" s="3" t="s">
        <v>28</v>
      </c>
      <c r="C11" s="3" t="s">
        <v>29</v>
      </c>
      <c r="D11" s="3" t="s">
        <v>148</v>
      </c>
      <c r="E11" s="3" t="s">
        <v>149</v>
      </c>
      <c r="F11" s="9" t="s">
        <v>131</v>
      </c>
      <c r="G11" s="2" t="s">
        <v>132</v>
      </c>
      <c r="H11" s="3" t="s">
        <v>154</v>
      </c>
    </row>
    <row r="12" spans="1:8" ht="18" customHeight="1" x14ac:dyDescent="0.45">
      <c r="A12" s="4">
        <v>10</v>
      </c>
      <c r="B12" s="5" t="s">
        <v>30</v>
      </c>
      <c r="C12" s="5" t="s">
        <v>31</v>
      </c>
      <c r="D12" s="5" t="s">
        <v>155</v>
      </c>
      <c r="E12" s="5" t="s">
        <v>156</v>
      </c>
      <c r="F12" s="10" t="s">
        <v>157</v>
      </c>
      <c r="G12" s="4" t="s">
        <v>137</v>
      </c>
      <c r="H12" s="5" t="s">
        <v>158</v>
      </c>
    </row>
    <row r="13" spans="1:8" ht="18" customHeight="1" x14ac:dyDescent="0.45">
      <c r="A13" s="2">
        <v>11</v>
      </c>
      <c r="B13" s="3" t="s">
        <v>33</v>
      </c>
      <c r="C13" s="3" t="s">
        <v>34</v>
      </c>
      <c r="D13" s="3" t="s">
        <v>159</v>
      </c>
      <c r="E13" s="3" t="s">
        <v>160</v>
      </c>
      <c r="F13" s="9" t="s">
        <v>131</v>
      </c>
      <c r="G13" s="2" t="s">
        <v>132</v>
      </c>
      <c r="H13" s="3" t="s">
        <v>161</v>
      </c>
    </row>
    <row r="14" spans="1:8" ht="18" customHeight="1" x14ac:dyDescent="0.45">
      <c r="A14" s="4">
        <v>12</v>
      </c>
      <c r="B14" s="5" t="s">
        <v>35</v>
      </c>
      <c r="C14" s="5" t="s">
        <v>36</v>
      </c>
      <c r="D14" s="5" t="s">
        <v>162</v>
      </c>
      <c r="E14" s="5" t="s">
        <v>163</v>
      </c>
      <c r="F14" s="12" t="s">
        <v>131</v>
      </c>
      <c r="G14" s="4" t="s">
        <v>132</v>
      </c>
      <c r="H14" s="5" t="s">
        <v>164</v>
      </c>
    </row>
    <row r="15" spans="1:8" ht="18" customHeight="1" x14ac:dyDescent="0.45">
      <c r="A15" s="2">
        <v>13</v>
      </c>
      <c r="B15" s="3" t="s">
        <v>37</v>
      </c>
      <c r="C15" s="3" t="s">
        <v>38</v>
      </c>
      <c r="D15" s="3" t="s">
        <v>165</v>
      </c>
      <c r="E15" s="3" t="s">
        <v>166</v>
      </c>
      <c r="F15" s="13" t="s">
        <v>136</v>
      </c>
      <c r="G15" s="2" t="s">
        <v>137</v>
      </c>
      <c r="H15" s="3" t="s">
        <v>167</v>
      </c>
    </row>
    <row r="16" spans="1:8" ht="18" customHeight="1" x14ac:dyDescent="0.45">
      <c r="A16" s="4">
        <v>14</v>
      </c>
      <c r="B16" s="5" t="s">
        <v>40</v>
      </c>
      <c r="C16" s="5" t="s">
        <v>41</v>
      </c>
      <c r="D16" s="5" t="s">
        <v>168</v>
      </c>
      <c r="E16" s="5" t="s">
        <v>169</v>
      </c>
      <c r="F16" s="12" t="s">
        <v>131</v>
      </c>
      <c r="G16" s="4" t="s">
        <v>132</v>
      </c>
      <c r="H16" s="5" t="s">
        <v>170</v>
      </c>
    </row>
    <row r="17" spans="1:8" ht="18" customHeight="1" x14ac:dyDescent="0.45">
      <c r="A17" s="2">
        <v>15</v>
      </c>
      <c r="B17" s="3" t="s">
        <v>42</v>
      </c>
      <c r="C17" s="3" t="s">
        <v>43</v>
      </c>
      <c r="D17" s="3" t="s">
        <v>148</v>
      </c>
      <c r="E17" s="3" t="s">
        <v>149</v>
      </c>
      <c r="F17" s="9" t="s">
        <v>131</v>
      </c>
      <c r="G17" s="2" t="s">
        <v>132</v>
      </c>
      <c r="H17" s="3" t="s">
        <v>171</v>
      </c>
    </row>
    <row r="18" spans="1:8" ht="18" customHeight="1" x14ac:dyDescent="0.45">
      <c r="A18" s="4">
        <v>16</v>
      </c>
      <c r="B18" s="5" t="s">
        <v>44</v>
      </c>
      <c r="C18" s="5" t="s">
        <v>45</v>
      </c>
      <c r="D18" s="5" t="s">
        <v>172</v>
      </c>
      <c r="E18" s="5" t="s">
        <v>173</v>
      </c>
      <c r="F18" s="10" t="s">
        <v>174</v>
      </c>
      <c r="G18" s="4" t="s">
        <v>137</v>
      </c>
      <c r="H18" s="11" t="s">
        <v>138</v>
      </c>
    </row>
    <row r="19" spans="1:8" ht="18" customHeight="1" x14ac:dyDescent="0.45">
      <c r="A19" s="2">
        <v>17</v>
      </c>
      <c r="B19" s="3" t="s">
        <v>47</v>
      </c>
      <c r="C19" s="3" t="s">
        <v>48</v>
      </c>
      <c r="D19" s="3" t="s">
        <v>159</v>
      </c>
      <c r="E19" s="3" t="s">
        <v>160</v>
      </c>
      <c r="F19" s="9" t="s">
        <v>131</v>
      </c>
      <c r="G19" s="2" t="s">
        <v>132</v>
      </c>
      <c r="H19" s="3" t="s">
        <v>175</v>
      </c>
    </row>
    <row r="20" spans="1:8" ht="18" customHeight="1" x14ac:dyDescent="0.45">
      <c r="A20" s="4">
        <v>18</v>
      </c>
      <c r="B20" s="5" t="s">
        <v>49</v>
      </c>
      <c r="C20" s="5" t="s">
        <v>50</v>
      </c>
      <c r="D20" s="5" t="s">
        <v>162</v>
      </c>
      <c r="E20" s="5" t="s">
        <v>163</v>
      </c>
      <c r="F20" s="12" t="s">
        <v>131</v>
      </c>
      <c r="G20" s="4" t="s">
        <v>132</v>
      </c>
      <c r="H20" s="5" t="s">
        <v>176</v>
      </c>
    </row>
    <row r="21" spans="1:8" ht="18" customHeight="1" x14ac:dyDescent="0.45">
      <c r="A21" s="2">
        <v>19</v>
      </c>
      <c r="B21" s="3" t="s">
        <v>51</v>
      </c>
      <c r="C21" s="3" t="s">
        <v>52</v>
      </c>
      <c r="D21" s="3" t="s">
        <v>168</v>
      </c>
      <c r="E21" s="3" t="s">
        <v>169</v>
      </c>
      <c r="F21" s="9" t="s">
        <v>131</v>
      </c>
      <c r="G21" s="2" t="s">
        <v>132</v>
      </c>
      <c r="H21" s="3" t="s">
        <v>177</v>
      </c>
    </row>
    <row r="22" spans="1:8" ht="18" customHeight="1" x14ac:dyDescent="0.45">
      <c r="A22" s="4">
        <v>20</v>
      </c>
      <c r="B22" s="5" t="s">
        <v>54</v>
      </c>
      <c r="C22" s="5" t="s">
        <v>55</v>
      </c>
      <c r="D22" s="5" t="s">
        <v>178</v>
      </c>
      <c r="E22" s="5" t="s">
        <v>179</v>
      </c>
      <c r="F22" s="10" t="s">
        <v>157</v>
      </c>
      <c r="G22" s="4" t="s">
        <v>137</v>
      </c>
      <c r="H22" s="11" t="s">
        <v>138</v>
      </c>
    </row>
    <row r="23" spans="1:8" ht="18" customHeight="1" x14ac:dyDescent="0.45">
      <c r="A23" s="2">
        <v>21</v>
      </c>
      <c r="B23" s="3" t="s">
        <v>56</v>
      </c>
      <c r="C23" s="3" t="s">
        <v>57</v>
      </c>
      <c r="D23" s="3" t="s">
        <v>159</v>
      </c>
      <c r="E23" s="3" t="s">
        <v>160</v>
      </c>
      <c r="F23" s="9" t="s">
        <v>131</v>
      </c>
      <c r="G23" s="2" t="s">
        <v>132</v>
      </c>
      <c r="H23" s="3" t="s">
        <v>180</v>
      </c>
    </row>
    <row r="24" spans="1:8" ht="18" customHeight="1" x14ac:dyDescent="0.45">
      <c r="A24" s="4">
        <v>22</v>
      </c>
      <c r="B24" s="5" t="s">
        <v>58</v>
      </c>
      <c r="C24" s="5" t="s">
        <v>59</v>
      </c>
      <c r="D24" s="5" t="s">
        <v>168</v>
      </c>
      <c r="E24" s="5" t="s">
        <v>169</v>
      </c>
      <c r="F24" s="12" t="s">
        <v>131</v>
      </c>
      <c r="G24" s="4" t="s">
        <v>132</v>
      </c>
      <c r="H24" s="5" t="s">
        <v>181</v>
      </c>
    </row>
    <row r="25" spans="1:8" ht="18" customHeight="1" x14ac:dyDescent="0.45">
      <c r="A25" s="2">
        <v>23</v>
      </c>
      <c r="B25" s="3" t="s">
        <v>60</v>
      </c>
      <c r="C25" s="3" t="s">
        <v>61</v>
      </c>
      <c r="D25" s="3" t="s">
        <v>182</v>
      </c>
      <c r="E25" s="3" t="s">
        <v>183</v>
      </c>
      <c r="F25" s="13" t="s">
        <v>184</v>
      </c>
      <c r="G25" s="2" t="s">
        <v>137</v>
      </c>
      <c r="H25" s="3" t="s">
        <v>185</v>
      </c>
    </row>
    <row r="26" spans="1:8" ht="18" customHeight="1" x14ac:dyDescent="0.45">
      <c r="A26" s="4">
        <v>24</v>
      </c>
      <c r="B26" s="5" t="s">
        <v>63</v>
      </c>
      <c r="C26" s="5" t="s">
        <v>64</v>
      </c>
      <c r="D26" s="5" t="s">
        <v>172</v>
      </c>
      <c r="E26" s="5" t="s">
        <v>173</v>
      </c>
      <c r="F26" s="10" t="s">
        <v>174</v>
      </c>
      <c r="G26" s="4" t="s">
        <v>137</v>
      </c>
      <c r="H26" s="11" t="s">
        <v>138</v>
      </c>
    </row>
    <row r="27" spans="1:8" ht="18" customHeight="1" x14ac:dyDescent="0.45">
      <c r="A27" s="2">
        <v>25</v>
      </c>
      <c r="B27" s="3" t="s">
        <v>65</v>
      </c>
      <c r="C27" s="3" t="s">
        <v>66</v>
      </c>
      <c r="D27" s="3" t="s">
        <v>139</v>
      </c>
      <c r="E27" s="3" t="s">
        <v>140</v>
      </c>
      <c r="F27" s="9" t="s">
        <v>131</v>
      </c>
      <c r="G27" s="2" t="s">
        <v>132</v>
      </c>
      <c r="H27" s="3" t="s">
        <v>186</v>
      </c>
    </row>
    <row r="28" spans="1:8" ht="18" customHeight="1" x14ac:dyDescent="0.45">
      <c r="A28" s="4">
        <v>26</v>
      </c>
      <c r="B28" s="5" t="s">
        <v>67</v>
      </c>
      <c r="C28" s="5" t="s">
        <v>68</v>
      </c>
      <c r="D28" s="5" t="s">
        <v>139</v>
      </c>
      <c r="E28" s="5" t="s">
        <v>140</v>
      </c>
      <c r="F28" s="12" t="s">
        <v>131</v>
      </c>
      <c r="G28" s="4" t="s">
        <v>132</v>
      </c>
      <c r="H28" s="5" t="s">
        <v>187</v>
      </c>
    </row>
    <row r="29" spans="1:8" ht="18" customHeight="1" x14ac:dyDescent="0.45">
      <c r="A29" s="2">
        <v>27</v>
      </c>
      <c r="B29" s="3" t="s">
        <v>69</v>
      </c>
      <c r="C29" s="3" t="s">
        <v>70</v>
      </c>
      <c r="D29" s="3" t="s">
        <v>168</v>
      </c>
      <c r="E29" s="3" t="s">
        <v>169</v>
      </c>
      <c r="F29" s="9" t="s">
        <v>131</v>
      </c>
      <c r="G29" s="2" t="s">
        <v>132</v>
      </c>
      <c r="H29" s="3" t="s">
        <v>188</v>
      </c>
    </row>
    <row r="30" spans="1:8" ht="18" customHeight="1" x14ac:dyDescent="0.45">
      <c r="A30" s="4">
        <v>28</v>
      </c>
      <c r="B30" s="5" t="s">
        <v>72</v>
      </c>
      <c r="C30" s="5" t="s">
        <v>73</v>
      </c>
      <c r="D30" s="5" t="s">
        <v>134</v>
      </c>
      <c r="E30" s="5" t="s">
        <v>135</v>
      </c>
      <c r="F30" s="10" t="s">
        <v>136</v>
      </c>
      <c r="G30" s="4" t="s">
        <v>137</v>
      </c>
      <c r="H30" s="11" t="s">
        <v>138</v>
      </c>
    </row>
    <row r="31" spans="1:8" ht="18" customHeight="1" x14ac:dyDescent="0.45">
      <c r="A31" s="2">
        <v>29</v>
      </c>
      <c r="B31" s="3" t="s">
        <v>74</v>
      </c>
      <c r="C31" s="3" t="s">
        <v>75</v>
      </c>
      <c r="D31" s="3" t="s">
        <v>189</v>
      </c>
      <c r="E31" s="3" t="s">
        <v>190</v>
      </c>
      <c r="F31" s="13" t="s">
        <v>191</v>
      </c>
      <c r="G31" s="2" t="s">
        <v>137</v>
      </c>
      <c r="H31" s="3" t="s">
        <v>192</v>
      </c>
    </row>
    <row r="32" spans="1:8" ht="18" customHeight="1" x14ac:dyDescent="0.45">
      <c r="A32" s="4">
        <v>30</v>
      </c>
      <c r="B32" s="5" t="s">
        <v>76</v>
      </c>
      <c r="C32" s="5" t="s">
        <v>77</v>
      </c>
      <c r="D32" s="5" t="s">
        <v>139</v>
      </c>
      <c r="E32" s="5" t="s">
        <v>140</v>
      </c>
      <c r="F32" s="12" t="s">
        <v>131</v>
      </c>
      <c r="G32" s="4" t="s">
        <v>132</v>
      </c>
      <c r="H32" s="5" t="s">
        <v>193</v>
      </c>
    </row>
    <row r="33" spans="1:8" ht="18" customHeight="1" x14ac:dyDescent="0.45">
      <c r="A33" s="2">
        <v>31</v>
      </c>
      <c r="B33" s="3" t="s">
        <v>78</v>
      </c>
      <c r="C33" s="3" t="s">
        <v>79</v>
      </c>
      <c r="D33" s="3" t="s">
        <v>165</v>
      </c>
      <c r="E33" s="3" t="s">
        <v>166</v>
      </c>
      <c r="F33" s="13" t="s">
        <v>136</v>
      </c>
      <c r="G33" s="2" t="s">
        <v>137</v>
      </c>
      <c r="H33" s="3" t="s">
        <v>194</v>
      </c>
    </row>
    <row r="34" spans="1:8" ht="18" customHeight="1" x14ac:dyDescent="0.45">
      <c r="A34" s="4">
        <v>32</v>
      </c>
      <c r="B34" s="5" t="s">
        <v>81</v>
      </c>
      <c r="C34" s="5" t="s">
        <v>82</v>
      </c>
      <c r="D34" s="5" t="s">
        <v>148</v>
      </c>
      <c r="E34" s="5" t="s">
        <v>149</v>
      </c>
      <c r="F34" s="12" t="s">
        <v>131</v>
      </c>
      <c r="G34" s="4" t="s">
        <v>132</v>
      </c>
      <c r="H34" s="5" t="s">
        <v>195</v>
      </c>
    </row>
    <row r="35" spans="1:8" ht="18" customHeight="1" x14ac:dyDescent="0.45">
      <c r="A35" s="2">
        <v>33</v>
      </c>
      <c r="B35" s="3" t="s">
        <v>83</v>
      </c>
      <c r="C35" s="3" t="s">
        <v>84</v>
      </c>
      <c r="D35" s="3" t="s">
        <v>139</v>
      </c>
      <c r="E35" s="3" t="s">
        <v>140</v>
      </c>
      <c r="F35" s="9" t="s">
        <v>131</v>
      </c>
      <c r="G35" s="2" t="s">
        <v>132</v>
      </c>
      <c r="H35" s="3" t="s">
        <v>196</v>
      </c>
    </row>
    <row r="36" spans="1:8" ht="18" customHeight="1" x14ac:dyDescent="0.45">
      <c r="A36" s="4">
        <v>34</v>
      </c>
      <c r="B36" s="5" t="s">
        <v>85</v>
      </c>
      <c r="C36" s="5" t="s">
        <v>86</v>
      </c>
      <c r="D36" s="5" t="s">
        <v>143</v>
      </c>
      <c r="E36" s="5" t="s">
        <v>144</v>
      </c>
      <c r="F36" s="10" t="s">
        <v>145</v>
      </c>
      <c r="G36" s="4" t="s">
        <v>137</v>
      </c>
      <c r="H36" s="5" t="s">
        <v>197</v>
      </c>
    </row>
    <row r="37" spans="1:8" ht="18" customHeight="1" x14ac:dyDescent="0.45">
      <c r="A37" s="2">
        <v>35</v>
      </c>
      <c r="B37" s="3" t="s">
        <v>87</v>
      </c>
      <c r="C37" s="3" t="s">
        <v>88</v>
      </c>
      <c r="D37" s="3" t="s">
        <v>148</v>
      </c>
      <c r="E37" s="3" t="s">
        <v>149</v>
      </c>
      <c r="F37" s="9" t="s">
        <v>131</v>
      </c>
      <c r="G37" s="2" t="s">
        <v>132</v>
      </c>
      <c r="H37" s="3" t="s">
        <v>198</v>
      </c>
    </row>
    <row r="38" spans="1:8" ht="18" customHeight="1" x14ac:dyDescent="0.45">
      <c r="A38" s="4">
        <v>36</v>
      </c>
      <c r="B38" s="5" t="s">
        <v>89</v>
      </c>
      <c r="C38" s="5" t="s">
        <v>90</v>
      </c>
      <c r="D38" s="5" t="s">
        <v>148</v>
      </c>
      <c r="E38" s="5" t="s">
        <v>149</v>
      </c>
      <c r="F38" s="12" t="s">
        <v>131</v>
      </c>
      <c r="G38" s="4" t="s">
        <v>132</v>
      </c>
      <c r="H38" s="5" t="s">
        <v>199</v>
      </c>
    </row>
    <row r="39" spans="1:8" ht="18" customHeight="1" x14ac:dyDescent="0.45">
      <c r="A39" s="2">
        <v>37</v>
      </c>
      <c r="B39" s="3" t="s">
        <v>92</v>
      </c>
      <c r="C39" s="3" t="s">
        <v>93</v>
      </c>
      <c r="D39" s="3" t="s">
        <v>159</v>
      </c>
      <c r="E39" s="3" t="s">
        <v>160</v>
      </c>
      <c r="F39" s="9" t="s">
        <v>131</v>
      </c>
      <c r="G39" s="2" t="s">
        <v>132</v>
      </c>
      <c r="H39" s="3" t="s">
        <v>200</v>
      </c>
    </row>
    <row r="40" spans="1:8" ht="18" customHeight="1" x14ac:dyDescent="0.45">
      <c r="A40" s="4">
        <v>38</v>
      </c>
      <c r="B40" s="5" t="s">
        <v>94</v>
      </c>
      <c r="C40" s="5" t="s">
        <v>95</v>
      </c>
      <c r="D40" s="5" t="s">
        <v>139</v>
      </c>
      <c r="E40" s="5" t="s">
        <v>140</v>
      </c>
      <c r="F40" s="12" t="s">
        <v>131</v>
      </c>
      <c r="G40" s="4" t="s">
        <v>132</v>
      </c>
      <c r="H40" s="5" t="s">
        <v>201</v>
      </c>
    </row>
    <row r="41" spans="1:8" ht="18" customHeight="1" x14ac:dyDescent="0.45">
      <c r="A41" s="2">
        <v>39</v>
      </c>
      <c r="B41" s="3" t="s">
        <v>96</v>
      </c>
      <c r="C41" s="3" t="s">
        <v>97</v>
      </c>
      <c r="D41" s="3" t="s">
        <v>148</v>
      </c>
      <c r="E41" s="3" t="s">
        <v>149</v>
      </c>
      <c r="F41" s="9" t="s">
        <v>131</v>
      </c>
      <c r="G41" s="2" t="s">
        <v>132</v>
      </c>
      <c r="H41" s="3" t="s">
        <v>202</v>
      </c>
    </row>
    <row r="42" spans="1:8" ht="18" customHeight="1" x14ac:dyDescent="0.45">
      <c r="A42" s="4">
        <v>40</v>
      </c>
      <c r="B42" s="5" t="s">
        <v>98</v>
      </c>
      <c r="C42" s="5" t="s">
        <v>99</v>
      </c>
      <c r="D42" s="5" t="s">
        <v>162</v>
      </c>
      <c r="E42" s="5" t="s">
        <v>163</v>
      </c>
      <c r="F42" s="12" t="s">
        <v>131</v>
      </c>
      <c r="G42" s="4" t="s">
        <v>132</v>
      </c>
      <c r="H42" s="5" t="s">
        <v>203</v>
      </c>
    </row>
    <row r="43" spans="1:8" ht="18" customHeight="1" x14ac:dyDescent="0.45">
      <c r="A43" s="2">
        <v>41</v>
      </c>
      <c r="B43" s="3" t="s">
        <v>100</v>
      </c>
      <c r="C43" s="3" t="s">
        <v>101</v>
      </c>
      <c r="D43" s="3" t="s">
        <v>204</v>
      </c>
      <c r="E43" s="3" t="s">
        <v>205</v>
      </c>
      <c r="F43" s="13" t="s">
        <v>145</v>
      </c>
      <c r="G43" s="2" t="s">
        <v>137</v>
      </c>
      <c r="H43" s="14" t="s">
        <v>138</v>
      </c>
    </row>
    <row r="44" spans="1:8" ht="18" customHeight="1" x14ac:dyDescent="0.45">
      <c r="A44" s="4">
        <v>42</v>
      </c>
      <c r="B44" s="5" t="s">
        <v>103</v>
      </c>
      <c r="C44" s="5" t="s">
        <v>104</v>
      </c>
      <c r="D44" s="5" t="s">
        <v>129</v>
      </c>
      <c r="E44" s="5" t="s">
        <v>130</v>
      </c>
      <c r="F44" s="12" t="s">
        <v>131</v>
      </c>
      <c r="G44" s="4" t="s">
        <v>132</v>
      </c>
      <c r="H44" s="5" t="s">
        <v>206</v>
      </c>
    </row>
    <row r="45" spans="1:8" ht="18" customHeight="1" x14ac:dyDescent="0.45">
      <c r="A45" s="2">
        <v>43</v>
      </c>
      <c r="B45" s="3" t="s">
        <v>105</v>
      </c>
      <c r="C45" s="3" t="s">
        <v>106</v>
      </c>
      <c r="D45" s="3" t="s">
        <v>189</v>
      </c>
      <c r="E45" s="3" t="s">
        <v>190</v>
      </c>
      <c r="F45" s="13" t="s">
        <v>191</v>
      </c>
      <c r="G45" s="2" t="s">
        <v>137</v>
      </c>
      <c r="H45" s="3" t="s">
        <v>207</v>
      </c>
    </row>
    <row r="46" spans="1:8" ht="18" customHeight="1" x14ac:dyDescent="0.45">
      <c r="A46" s="4">
        <v>44</v>
      </c>
      <c r="B46" s="5" t="s">
        <v>107</v>
      </c>
      <c r="C46" s="5" t="s">
        <v>108</v>
      </c>
      <c r="D46" s="5" t="s">
        <v>148</v>
      </c>
      <c r="E46" s="5" t="s">
        <v>149</v>
      </c>
      <c r="F46" s="12" t="s">
        <v>131</v>
      </c>
      <c r="G46" s="4" t="s">
        <v>132</v>
      </c>
      <c r="H46" s="5" t="s">
        <v>208</v>
      </c>
    </row>
    <row r="47" spans="1:8" ht="18" customHeight="1" x14ac:dyDescent="0.45">
      <c r="A47" s="2">
        <v>45</v>
      </c>
      <c r="B47" s="3" t="s">
        <v>109</v>
      </c>
      <c r="C47" s="3" t="s">
        <v>110</v>
      </c>
      <c r="D47" s="3" t="s">
        <v>182</v>
      </c>
      <c r="E47" s="3" t="s">
        <v>183</v>
      </c>
      <c r="F47" s="13" t="s">
        <v>184</v>
      </c>
      <c r="G47" s="2" t="s">
        <v>137</v>
      </c>
      <c r="H47" s="3" t="s">
        <v>209</v>
      </c>
    </row>
    <row r="48" spans="1:8" ht="18" customHeight="1" x14ac:dyDescent="0.45">
      <c r="A48" s="4">
        <v>46</v>
      </c>
      <c r="B48" s="5" t="s">
        <v>111</v>
      </c>
      <c r="C48" s="5" t="s">
        <v>112</v>
      </c>
      <c r="D48" s="5" t="s">
        <v>172</v>
      </c>
      <c r="E48" s="5" t="s">
        <v>173</v>
      </c>
      <c r="F48" s="10" t="s">
        <v>174</v>
      </c>
      <c r="G48" s="4" t="s">
        <v>137</v>
      </c>
      <c r="H48" s="11" t="s">
        <v>138</v>
      </c>
    </row>
    <row r="49" spans="1:8" ht="18" customHeight="1" x14ac:dyDescent="0.45">
      <c r="A49" s="2">
        <v>47</v>
      </c>
      <c r="B49" s="3" t="s">
        <v>114</v>
      </c>
      <c r="C49" s="3" t="s">
        <v>115</v>
      </c>
      <c r="D49" s="3" t="s">
        <v>159</v>
      </c>
      <c r="E49" s="3" t="s">
        <v>160</v>
      </c>
      <c r="F49" s="9" t="s">
        <v>131</v>
      </c>
      <c r="G49" s="2" t="s">
        <v>132</v>
      </c>
      <c r="H49" s="3" t="s">
        <v>210</v>
      </c>
    </row>
    <row r="50" spans="1:8" ht="18" customHeight="1" x14ac:dyDescent="0.45">
      <c r="A50" s="4">
        <v>48</v>
      </c>
      <c r="B50" s="5" t="s">
        <v>116</v>
      </c>
      <c r="C50" s="5" t="s">
        <v>117</v>
      </c>
      <c r="D50" s="5" t="s">
        <v>139</v>
      </c>
      <c r="E50" s="5" t="s">
        <v>140</v>
      </c>
      <c r="F50" s="12" t="s">
        <v>131</v>
      </c>
      <c r="G50" s="4" t="s">
        <v>132</v>
      </c>
      <c r="H50" s="5" t="s">
        <v>211</v>
      </c>
    </row>
    <row r="51" spans="1:8" ht="18" customHeight="1" x14ac:dyDescent="0.45">
      <c r="A51" s="2">
        <v>49</v>
      </c>
      <c r="B51" s="3" t="s">
        <v>118</v>
      </c>
      <c r="C51" s="3" t="s">
        <v>119</v>
      </c>
      <c r="D51" s="3" t="s">
        <v>168</v>
      </c>
      <c r="E51" s="3" t="s">
        <v>169</v>
      </c>
      <c r="F51" s="9" t="s">
        <v>131</v>
      </c>
      <c r="G51" s="2" t="s">
        <v>132</v>
      </c>
      <c r="H51" s="3" t="s">
        <v>212</v>
      </c>
    </row>
    <row r="52" spans="1:8" ht="18" customHeight="1" x14ac:dyDescent="0.45">
      <c r="A52" s="4">
        <v>50</v>
      </c>
      <c r="B52" s="5" t="s">
        <v>120</v>
      </c>
      <c r="C52" s="5" t="s">
        <v>121</v>
      </c>
      <c r="D52" s="5" t="s">
        <v>139</v>
      </c>
      <c r="E52" s="5" t="s">
        <v>140</v>
      </c>
      <c r="F52" s="12" t="s">
        <v>131</v>
      </c>
      <c r="G52" s="4" t="s">
        <v>132</v>
      </c>
      <c r="H52" s="5" t="s">
        <v>213</v>
      </c>
    </row>
    <row r="53" spans="1:8" ht="18" customHeight="1" x14ac:dyDescent="0.45">
      <c r="A53" s="2">
        <v>51</v>
      </c>
      <c r="B53" s="3" t="s">
        <v>20</v>
      </c>
      <c r="C53" s="3" t="s">
        <v>21</v>
      </c>
      <c r="D53" s="3" t="s">
        <v>204</v>
      </c>
      <c r="E53" s="3" t="s">
        <v>205</v>
      </c>
      <c r="F53" s="13" t="s">
        <v>145</v>
      </c>
      <c r="G53" s="2" t="s">
        <v>137</v>
      </c>
      <c r="H53" s="14" t="s">
        <v>138</v>
      </c>
    </row>
    <row r="54" spans="1:8" ht="18" customHeight="1" x14ac:dyDescent="0.45">
      <c r="A54" s="4">
        <v>52</v>
      </c>
      <c r="B54" s="5" t="s">
        <v>35</v>
      </c>
      <c r="C54" s="5" t="s">
        <v>36</v>
      </c>
      <c r="D54" s="5" t="s">
        <v>165</v>
      </c>
      <c r="E54" s="5" t="s">
        <v>166</v>
      </c>
      <c r="F54" s="10" t="s">
        <v>136</v>
      </c>
      <c r="G54" s="4" t="s">
        <v>137</v>
      </c>
      <c r="H54" s="5" t="s">
        <v>214</v>
      </c>
    </row>
    <row r="55" spans="1:8" ht="18" customHeight="1" x14ac:dyDescent="0.45">
      <c r="A55" s="2">
        <v>53</v>
      </c>
      <c r="B55" s="3" t="s">
        <v>54</v>
      </c>
      <c r="C55" s="3" t="s">
        <v>55</v>
      </c>
      <c r="D55" s="3" t="s">
        <v>143</v>
      </c>
      <c r="E55" s="3" t="s">
        <v>144</v>
      </c>
      <c r="F55" s="13" t="s">
        <v>145</v>
      </c>
      <c r="G55" s="2" t="s">
        <v>137</v>
      </c>
      <c r="H55" s="3" t="s">
        <v>215</v>
      </c>
    </row>
    <row r="56" spans="1:8" ht="18" customHeight="1" x14ac:dyDescent="0.45">
      <c r="A56" s="4">
        <v>54</v>
      </c>
      <c r="B56" s="5" t="s">
        <v>83</v>
      </c>
      <c r="C56" s="5" t="s">
        <v>84</v>
      </c>
      <c r="D56" s="5" t="s">
        <v>189</v>
      </c>
      <c r="E56" s="5" t="s">
        <v>190</v>
      </c>
      <c r="F56" s="10" t="s">
        <v>191</v>
      </c>
      <c r="G56" s="4" t="s">
        <v>137</v>
      </c>
      <c r="H56" s="11" t="s">
        <v>138</v>
      </c>
    </row>
    <row r="57" spans="1:8" ht="18" customHeight="1" x14ac:dyDescent="0.45">
      <c r="A57" s="2">
        <v>55</v>
      </c>
      <c r="B57" s="3" t="s">
        <v>114</v>
      </c>
      <c r="C57" s="3" t="s">
        <v>115</v>
      </c>
      <c r="D57" s="3" t="s">
        <v>168</v>
      </c>
      <c r="E57" s="3" t="s">
        <v>169</v>
      </c>
      <c r="F57" s="9" t="s">
        <v>131</v>
      </c>
      <c r="G57" s="2" t="s">
        <v>132</v>
      </c>
      <c r="H57" s="3" t="s">
        <v>216</v>
      </c>
    </row>
    <row r="58" spans="1:8" ht="18" customHeight="1" x14ac:dyDescent="0.45">
      <c r="A58" s="4">
        <v>56</v>
      </c>
      <c r="B58" s="5" t="s">
        <v>217</v>
      </c>
      <c r="C58" s="5" t="s">
        <v>218</v>
      </c>
      <c r="D58" s="5" t="s">
        <v>134</v>
      </c>
      <c r="E58" s="5" t="s">
        <v>135</v>
      </c>
      <c r="F58" s="10" t="s">
        <v>136</v>
      </c>
      <c r="G58" s="4" t="s">
        <v>137</v>
      </c>
      <c r="H58" s="11" t="s">
        <v>138</v>
      </c>
    </row>
    <row r="59" spans="1:8" ht="18" customHeight="1" x14ac:dyDescent="0.45">
      <c r="A59" s="2">
        <v>57</v>
      </c>
      <c r="B59" s="3" t="s">
        <v>219</v>
      </c>
      <c r="C59" s="3" t="s">
        <v>220</v>
      </c>
      <c r="D59" s="3" t="s">
        <v>129</v>
      </c>
      <c r="E59" s="3" t="s">
        <v>130</v>
      </c>
      <c r="F59" s="9" t="s">
        <v>131</v>
      </c>
      <c r="G59" s="2" t="s">
        <v>132</v>
      </c>
      <c r="H59" s="3" t="s">
        <v>221</v>
      </c>
    </row>
    <row r="60" spans="1:8" ht="18" customHeight="1" x14ac:dyDescent="0.45">
      <c r="A60" s="4">
        <v>58</v>
      </c>
      <c r="B60" s="5" t="s">
        <v>222</v>
      </c>
      <c r="C60" s="5" t="s">
        <v>223</v>
      </c>
      <c r="D60" s="5" t="s">
        <v>165</v>
      </c>
      <c r="E60" s="5" t="s">
        <v>166</v>
      </c>
      <c r="F60" s="10" t="s">
        <v>136</v>
      </c>
      <c r="G60" s="4" t="s">
        <v>137</v>
      </c>
      <c r="H60" s="5" t="s">
        <v>224</v>
      </c>
    </row>
    <row r="61" spans="1:8" ht="18" customHeight="1" x14ac:dyDescent="0.45">
      <c r="A61" s="2">
        <v>59</v>
      </c>
      <c r="B61" s="3" t="s">
        <v>225</v>
      </c>
      <c r="C61" s="3" t="s">
        <v>226</v>
      </c>
      <c r="D61" s="3" t="s">
        <v>204</v>
      </c>
      <c r="E61" s="3" t="s">
        <v>205</v>
      </c>
      <c r="F61" s="13" t="s">
        <v>145</v>
      </c>
      <c r="G61" s="2" t="s">
        <v>137</v>
      </c>
      <c r="H61" s="3" t="s">
        <v>227</v>
      </c>
    </row>
    <row r="62" spans="1:8" ht="18" customHeight="1" x14ac:dyDescent="0.45">
      <c r="A62" s="4">
        <v>60</v>
      </c>
      <c r="B62" s="5" t="s">
        <v>228</v>
      </c>
      <c r="C62" s="5" t="s">
        <v>229</v>
      </c>
      <c r="D62" s="5" t="s">
        <v>182</v>
      </c>
      <c r="E62" s="5" t="s">
        <v>183</v>
      </c>
      <c r="F62" s="10" t="s">
        <v>184</v>
      </c>
      <c r="G62" s="4" t="s">
        <v>137</v>
      </c>
      <c r="H62" s="11" t="s">
        <v>138</v>
      </c>
    </row>
    <row r="63" spans="1:8" ht="18" customHeight="1" x14ac:dyDescent="0.45">
      <c r="A63" s="2">
        <v>61</v>
      </c>
      <c r="B63" s="3" t="s">
        <v>230</v>
      </c>
      <c r="C63" s="3" t="s">
        <v>231</v>
      </c>
      <c r="D63" s="3" t="s">
        <v>159</v>
      </c>
      <c r="E63" s="3" t="s">
        <v>160</v>
      </c>
      <c r="F63" s="9" t="s">
        <v>131</v>
      </c>
      <c r="G63" s="2" t="s">
        <v>132</v>
      </c>
      <c r="H63" s="3" t="s">
        <v>232</v>
      </c>
    </row>
    <row r="64" spans="1:8" ht="18" customHeight="1" x14ac:dyDescent="0.45">
      <c r="A64" s="4">
        <v>62</v>
      </c>
      <c r="B64" s="5" t="s">
        <v>233</v>
      </c>
      <c r="C64" s="5" t="s">
        <v>234</v>
      </c>
      <c r="D64" s="5" t="s">
        <v>139</v>
      </c>
      <c r="E64" s="5" t="s">
        <v>140</v>
      </c>
      <c r="F64" s="12" t="s">
        <v>131</v>
      </c>
      <c r="G64" s="4" t="s">
        <v>132</v>
      </c>
      <c r="H64" s="11" t="s">
        <v>138</v>
      </c>
    </row>
    <row r="65" spans="1:8" ht="18" customHeight="1" x14ac:dyDescent="0.45">
      <c r="A65" s="2">
        <v>63</v>
      </c>
      <c r="B65" s="3" t="s">
        <v>235</v>
      </c>
      <c r="C65" s="3" t="s">
        <v>236</v>
      </c>
      <c r="D65" s="3" t="s">
        <v>178</v>
      </c>
      <c r="E65" s="3" t="s">
        <v>179</v>
      </c>
      <c r="F65" s="13" t="s">
        <v>157</v>
      </c>
      <c r="G65" s="2" t="s">
        <v>137</v>
      </c>
      <c r="H65" s="14" t="s">
        <v>138</v>
      </c>
    </row>
    <row r="66" spans="1:8" ht="18" customHeight="1" x14ac:dyDescent="0.45">
      <c r="A66" s="4">
        <v>64</v>
      </c>
      <c r="B66" s="5" t="s">
        <v>237</v>
      </c>
      <c r="C66" s="5" t="s">
        <v>238</v>
      </c>
      <c r="D66" s="5" t="s">
        <v>239</v>
      </c>
      <c r="E66" s="5" t="s">
        <v>240</v>
      </c>
      <c r="F66" s="10" t="s">
        <v>174</v>
      </c>
      <c r="G66" s="4" t="s">
        <v>137</v>
      </c>
      <c r="H66" s="5" t="s">
        <v>241</v>
      </c>
    </row>
    <row r="67" spans="1:8" ht="18" customHeight="1" x14ac:dyDescent="0.45">
      <c r="A67" s="2">
        <v>65</v>
      </c>
      <c r="B67" s="3" t="s">
        <v>242</v>
      </c>
      <c r="C67" s="3" t="s">
        <v>243</v>
      </c>
      <c r="D67" s="3" t="s">
        <v>162</v>
      </c>
      <c r="E67" s="3" t="s">
        <v>163</v>
      </c>
      <c r="F67" s="9" t="s">
        <v>131</v>
      </c>
      <c r="G67" s="2" t="s">
        <v>132</v>
      </c>
      <c r="H67" s="3" t="s">
        <v>244</v>
      </c>
    </row>
    <row r="68" spans="1:8" ht="20" customHeight="1" x14ac:dyDescent="0.45">
      <c r="A68" s="20" t="s">
        <v>245</v>
      </c>
      <c r="B68" s="18"/>
      <c r="C68" s="18"/>
      <c r="D68" s="18"/>
      <c r="E68" s="18"/>
      <c r="F68" s="18"/>
      <c r="G68" s="18"/>
      <c r="H68" s="18"/>
    </row>
    <row r="70" spans="1:8" ht="18" customHeight="1" x14ac:dyDescent="0.45">
      <c r="A70" s="15" t="s">
        <v>246</v>
      </c>
      <c r="B70" s="15" t="s">
        <v>247</v>
      </c>
      <c r="C70" s="15" t="s">
        <v>248</v>
      </c>
      <c r="D70" s="15" t="s">
        <v>249</v>
      </c>
      <c r="E70" s="15" t="s">
        <v>250</v>
      </c>
    </row>
    <row r="71" spans="1:8" ht="20" customHeight="1" x14ac:dyDescent="0.45">
      <c r="A71" s="16">
        <f>COUNTA(B3:B67)</f>
        <v>65</v>
      </c>
      <c r="B71" s="16">
        <f>COUNTIF(F3:F67,"KR")</f>
        <v>39</v>
      </c>
      <c r="C71" s="16">
        <f>COUNTIF(F3:F67,"&lt;&gt;KR")</f>
        <v>26</v>
      </c>
      <c r="D71" s="16">
        <f>COUNTIF(H3:H67,"PIR-*")</f>
        <v>52</v>
      </c>
      <c r="E71" s="16">
        <f>COUNTIF(H3:H67,"(없음)")</f>
        <v>13</v>
      </c>
    </row>
  </sheetData>
  <mergeCells count="2">
    <mergeCell ref="A68:H68"/>
    <mergeCell ref="A1:H1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PartList</vt:lpstr>
      <vt:lpstr>SAP_Data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승원 강</cp:lastModifiedBy>
  <dcterms:created xsi:type="dcterms:W3CDTF">2026-03-13T01:54:53Z</dcterms:created>
  <dcterms:modified xsi:type="dcterms:W3CDTF">2026-03-13T07:42:06Z</dcterms:modified>
</cp:coreProperties>
</file>